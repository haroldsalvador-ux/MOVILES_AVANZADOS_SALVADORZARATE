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rámetros" sheetId="1" state="visible" r:id="rId1"/>
    <sheet name="Boleta" sheetId="2" state="visible" r:id="rId2"/>
    <sheet name="Casos" sheetId="3" state="visible" r:id="rId3"/>
    <sheet name="Explicación" sheetId="4" state="visible" r:id="rId4"/>
  </sheets>
  <definedNames>
    <definedName name="RMV">'Parámetros'!$B$5</definedName>
    <definedName name="TasaAsigFam">'Parámetros'!$B$6</definedName>
    <definedName name="TasaONP">'Parámetros'!$B$7</definedName>
    <definedName name="TasaEsSalud">'Parámetros'!$B$8</definedName>
    <definedName name="Recargo25">'Parámetros'!$B$9</definedName>
    <definedName name="Recargo35">'Parámetros'!$B$10</definedName>
    <definedName name="DiasMes">'Parámetros'!$B$11</definedName>
    <definedName name="HorasDia">'Parámetros'!$B$12</definedName>
    <definedName name="AFP_Nombres">'Parámetros'!$A$17:$A$21</definedName>
    <definedName name="AFP_Fondo">'Parámetros'!$B$17:$B$21</definedName>
    <definedName name="AFP_Comision">'Parámetros'!$C$17:$C$21</definedName>
    <definedName name="AFP_Seguro">'Parámetros'!$D$17:$D$21</definedName>
  </definedNames>
  <calcPr calcId="124519" fullCalcOnLoad="1"/>
</workbook>
</file>

<file path=xl/styles.xml><?xml version="1.0" encoding="utf-8"?>
<styleSheet xmlns="http://schemas.openxmlformats.org/spreadsheetml/2006/main">
  <numFmts count="1">
    <numFmt numFmtId="164" formatCode="#,##0.00;-#,##0.00;0.00"/>
  </numFmts>
  <fonts count="13">
    <font>
      <name val="Calibri"/>
      <family val="2"/>
      <color theme="1"/>
      <sz val="11"/>
      <scheme val="minor"/>
    </font>
    <font>
      <name val="Arial"/>
      <b val="1"/>
      <color rgb="00000000"/>
      <sz val="14"/>
    </font>
    <font>
      <name val="Arial"/>
      <i val="1"/>
      <color rgb="00595959"/>
      <sz val="10"/>
    </font>
    <font>
      <name val="Arial"/>
      <b val="1"/>
      <color rgb="00FFFFFF"/>
      <sz val="10"/>
    </font>
    <font>
      <name val="Arial"/>
      <color rgb="00000000"/>
      <sz val="10"/>
    </font>
    <font>
      <name val="Arial"/>
      <color rgb="000000FF"/>
      <sz val="10"/>
    </font>
    <font>
      <name val="Arial"/>
      <i val="1"/>
      <color rgb="00000000"/>
      <sz val="10"/>
    </font>
    <font>
      <name val="Arial"/>
      <b val="1"/>
      <color rgb="00000000"/>
      <sz val="11"/>
    </font>
    <font>
      <name val="Arial"/>
      <b val="1"/>
      <color rgb="00000000"/>
      <sz val="10"/>
    </font>
    <font>
      <name val="Courier New"/>
      <sz val="9"/>
    </font>
    <font>
      <name val="Arial"/>
      <b val="1"/>
      <color rgb="00000000"/>
      <sz val="12"/>
    </font>
    <font>
      <name val="Arial"/>
      <b val="1"/>
      <color rgb="00008000"/>
      <sz val="10"/>
    </font>
    <font>
      <name val="Arial"/>
      <color rgb="00008000"/>
      <sz val="10"/>
    </font>
  </fonts>
  <fills count="6">
    <fill>
      <patternFill/>
    </fill>
    <fill>
      <patternFill patternType="gray125"/>
    </fill>
    <fill>
      <patternFill patternType="solid">
        <fgColor rgb="001F4E79"/>
      </patternFill>
    </fill>
    <fill>
      <patternFill patternType="solid">
        <fgColor rgb="00FFFF00"/>
      </patternFill>
    </fill>
    <fill>
      <patternFill patternType="solid">
        <fgColor rgb="00DDEBF7"/>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0" borderId="1" pivotButton="0" quotePrefix="0" xfId="0"/>
    <xf numFmtId="164" fontId="5" fillId="0" borderId="1" pivotButton="0" quotePrefix="0" xfId="0"/>
    <xf numFmtId="0" fontId="6" fillId="0" borderId="1" pivotButton="0" quotePrefix="0" xfId="0"/>
    <xf numFmtId="10" fontId="5" fillId="0" borderId="1" pivotButton="0" quotePrefix="0" xfId="0"/>
    <xf numFmtId="2" fontId="5" fillId="0" borderId="1" pivotButton="0" quotePrefix="0" xfId="0"/>
    <xf numFmtId="1" fontId="5" fillId="0" borderId="1" pivotButton="0" quotePrefix="0" xfId="0"/>
    <xf numFmtId="0" fontId="7" fillId="0" borderId="0" pivotButton="0" quotePrefix="0" xfId="0"/>
    <xf numFmtId="164" fontId="5" fillId="3" borderId="1" pivotButton="0" quotePrefix="0" xfId="0"/>
    <xf numFmtId="0" fontId="2" fillId="0" borderId="1" pivotButton="0" quotePrefix="0" xfId="0"/>
    <xf numFmtId="1" fontId="5" fillId="3" borderId="1" pivotButton="0" quotePrefix="0" xfId="0"/>
    <xf numFmtId="0" fontId="5" fillId="3" borderId="1" pivotButton="0" quotePrefix="0" xfId="0"/>
    <xf numFmtId="2" fontId="5" fillId="3" borderId="1" pivotButton="0" quotePrefix="0" xfId="0"/>
    <xf numFmtId="0" fontId="8" fillId="0" borderId="0" pivotButton="0" quotePrefix="0" xfId="0"/>
    <xf numFmtId="0" fontId="8" fillId="4" borderId="0" pivotButton="0" quotePrefix="0" xfId="0"/>
    <xf numFmtId="0" fontId="0" fillId="4" borderId="0" pivotButton="0" quotePrefix="0" xfId="0"/>
    <xf numFmtId="164" fontId="4" fillId="0" borderId="1" pivotButton="0" quotePrefix="0" xfId="0"/>
    <xf numFmtId="0" fontId="9" fillId="0" borderId="1" pivotButton="0" quotePrefix="0" xfId="0"/>
    <xf numFmtId="0" fontId="8" fillId="0" borderId="1" pivotButton="0" quotePrefix="0" xfId="0"/>
    <xf numFmtId="164" fontId="8" fillId="0" borderId="1" pivotButton="0" quotePrefix="0" xfId="0"/>
    <xf numFmtId="0" fontId="8" fillId="5" borderId="1" pivotButton="0" quotePrefix="0" xfId="0"/>
    <xf numFmtId="164" fontId="10" fillId="5" borderId="1" pivotButton="0" quotePrefix="0" xfId="0"/>
    <xf numFmtId="0" fontId="9" fillId="5" borderId="1" pivotButton="0" quotePrefix="0" xfId="0"/>
    <xf numFmtId="0" fontId="4" fillId="5" borderId="1" pivotButton="0" quotePrefix="0" xfId="0"/>
    <xf numFmtId="10" fontId="4" fillId="0" borderId="1" pivotButton="0" quotePrefix="0" xfId="0"/>
    <xf numFmtId="0" fontId="5" fillId="0" borderId="1" pivotButton="0" quotePrefix="0" xfId="0"/>
    <xf numFmtId="164" fontId="8" fillId="5" borderId="1" pivotButton="0" quotePrefix="0" xfId="0"/>
    <xf numFmtId="0" fontId="11" fillId="0" borderId="1" pivotButton="0" quotePrefix="0" xfId="0"/>
    <xf numFmtId="0" fontId="8" fillId="0" borderId="1" applyAlignment="1" pivotButton="0" quotePrefix="0" xfId="0">
      <alignment vertical="top" wrapText="1"/>
    </xf>
    <xf numFmtId="0" fontId="4" fillId="0" borderId="1" applyAlignment="1" pivotButton="0" quotePrefix="0" xfId="0">
      <alignment vertical="top" wrapText="1"/>
    </xf>
    <xf numFmtId="164" fontId="12" fillId="0" borderId="1" applyAlignment="1" pivotButton="0" quotePrefix="0" xfId="0">
      <alignment vertical="top" wrapText="1"/>
    </xf>
    <xf numFmtId="0" fontId="10" fillId="0" borderId="0" pivotButton="0" quotePrefix="0" xfId="0"/>
    <xf numFmtId="10" fontId="12" fillId="0" borderId="1" applyAlignment="1" pivotButton="0" quotePrefix="0" xfId="0">
      <alignment vertical="top" wrapText="1"/>
    </xf>
    <xf numFmtId="164" fontId="1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Harold Salvador Zarate</author>
  </authors>
  <commentList>
    <comment ref="B5" authorId="0" shapeId="0">
      <text>
        <t>Datos del caso 3 del enunciado. Cámbialos para probar otros casos.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6" customWidth="1" min="1" max="1"/>
    <col width="18" customWidth="1" min="2" max="2"/>
    <col width="20" customWidth="1" min="3" max="3"/>
    <col width="70" customWidth="1" min="4" max="4"/>
    <col width="18" customWidth="1" min="5" max="5"/>
  </cols>
  <sheetData>
    <row r="1">
      <c r="A1" s="1" t="inlineStr">
        <is>
          <t>Parámetros de cálculo</t>
        </is>
      </c>
    </row>
    <row r="2">
      <c r="A2" s="2" t="inlineStr">
        <is>
          <t>Los parámetros van en un solo lugar: ninguna fórmula lleva estos números escritos a mano.</t>
        </is>
      </c>
    </row>
    <row r="4">
      <c r="A4" s="3" t="inlineStr">
        <is>
          <t>Parámetro</t>
        </is>
      </c>
      <c r="B4" s="3" t="inlineStr">
        <is>
          <t>Valor</t>
        </is>
      </c>
      <c r="C4" s="3" t="inlineStr">
        <is>
          <t>Nombre en fórmulas</t>
        </is>
      </c>
      <c r="D4" s="3" t="inlineStr">
        <is>
          <t>Fuente</t>
        </is>
      </c>
      <c r="E4" s="3" t="inlineStr">
        <is>
          <t>Fecha de consulta</t>
        </is>
      </c>
    </row>
    <row r="5">
      <c r="A5" s="4" t="inlineStr">
        <is>
          <t>Remuneración mínima vital (RMV)</t>
        </is>
      </c>
      <c r="B5" s="5" t="n">
        <v>1230</v>
      </c>
      <c r="C5" s="6" t="inlineStr">
        <is>
          <t>RMV</t>
        </is>
      </c>
      <c r="D5" s="4" t="inlineStr">
        <is>
          <t>D.S. de la RMV, vigente desde el 1 de octubre de 2026 (dato del enunciado)</t>
        </is>
      </c>
      <c r="E5" s="4" t="inlineStr">
        <is>
          <t>28/10/2026</t>
        </is>
      </c>
    </row>
    <row r="6">
      <c r="A6" s="4" t="inlineStr">
        <is>
          <t>Asignación familiar (% de la RMV)</t>
        </is>
      </c>
      <c r="B6" s="7" t="n">
        <v>0.1</v>
      </c>
      <c r="C6" s="6" t="inlineStr">
        <is>
          <t>TasaAsigFam</t>
        </is>
      </c>
      <c r="D6" s="4" t="inlineStr">
        <is>
          <t>Ley 25129</t>
        </is>
      </c>
      <c r="E6" s="4" t="inlineStr">
        <is>
          <t>28/10/2026</t>
        </is>
      </c>
    </row>
    <row r="7">
      <c r="A7" s="4" t="inlineStr">
        <is>
          <t>Aporte ONP</t>
        </is>
      </c>
      <c r="B7" s="7" t="n">
        <v>0.13</v>
      </c>
      <c r="C7" s="6" t="inlineStr">
        <is>
          <t>TasaONP</t>
        </is>
      </c>
      <c r="D7" s="4" t="inlineStr">
        <is>
          <t>D.L. 19990</t>
        </is>
      </c>
      <c r="E7" s="4" t="inlineStr">
        <is>
          <t>28/10/2026</t>
        </is>
      </c>
    </row>
    <row r="8">
      <c r="A8" s="4" t="inlineStr">
        <is>
          <t>Aporte EsSalud (empleador)</t>
        </is>
      </c>
      <c r="B8" s="7" t="n">
        <v>0.09</v>
      </c>
      <c r="C8" s="6" t="inlineStr">
        <is>
          <t>TasaEsSalud</t>
        </is>
      </c>
      <c r="D8" s="4" t="inlineStr">
        <is>
          <t>Ley 26790</t>
        </is>
      </c>
      <c r="E8" s="4" t="inlineStr">
        <is>
          <t>28/10/2026</t>
        </is>
      </c>
    </row>
    <row r="9">
      <c r="A9" s="4" t="inlineStr">
        <is>
          <t>Recargo horas extras 25%</t>
        </is>
      </c>
      <c r="B9" s="8" t="n">
        <v>1.25</v>
      </c>
      <c r="C9" s="6" t="inlineStr">
        <is>
          <t>Recargo25</t>
        </is>
      </c>
      <c r="D9" s="4" t="inlineStr">
        <is>
          <t>Normas de jornada y sobretiempo (D.S. 007-2002-TR)</t>
        </is>
      </c>
      <c r="E9" s="4" t="inlineStr">
        <is>
          <t>28/10/2026</t>
        </is>
      </c>
    </row>
    <row r="10">
      <c r="A10" s="4" t="inlineStr">
        <is>
          <t>Recargo horas extras 35%</t>
        </is>
      </c>
      <c r="B10" s="8" t="n">
        <v>1.35</v>
      </c>
      <c r="C10" s="6" t="inlineStr">
        <is>
          <t>Recargo35</t>
        </is>
      </c>
      <c r="D10" s="4" t="inlineStr">
        <is>
          <t>Normas de jornada y sobretiempo (D.S. 007-2002-TR)</t>
        </is>
      </c>
      <c r="E10" s="4" t="inlineStr">
        <is>
          <t>28/10/2026</t>
        </is>
      </c>
    </row>
    <row r="11">
      <c r="A11" s="4" t="inlineStr">
        <is>
          <t>Días del mes (convención)</t>
        </is>
      </c>
      <c r="B11" s="9" t="n">
        <v>30</v>
      </c>
      <c r="C11" s="6" t="inlineStr">
        <is>
          <t>DiasMes</t>
        </is>
      </c>
      <c r="D11" s="4" t="inlineStr">
        <is>
          <t>Enunciado: sueldo ÷ 30</t>
        </is>
      </c>
      <c r="E11" s="4" t="inlineStr">
        <is>
          <t>28/10/2026</t>
        </is>
      </c>
    </row>
    <row r="12">
      <c r="A12" s="4" t="inlineStr">
        <is>
          <t>Horas por día (convención)</t>
        </is>
      </c>
      <c r="B12" s="9" t="n">
        <v>8</v>
      </c>
      <c r="C12" s="6" t="inlineStr">
        <is>
          <t>HorasDia</t>
        </is>
      </c>
      <c r="D12" s="4" t="inlineStr">
        <is>
          <t>Enunciado: valor hora = sueldo ÷ 30 ÷ 8</t>
        </is>
      </c>
      <c r="E12" s="4" t="inlineStr">
        <is>
          <t>28/10/2026</t>
        </is>
      </c>
    </row>
    <row r="15">
      <c r="A15" s="10" t="inlineStr">
        <is>
          <t>Tasas de las AFP (se aplican sobre el total de remuneraciones)</t>
        </is>
      </c>
    </row>
    <row r="16">
      <c r="A16" s="3" t="inlineStr">
        <is>
          <t>AFP</t>
        </is>
      </c>
      <c r="B16" s="3" t="inlineStr">
        <is>
          <t>Aporte al fondo</t>
        </is>
      </c>
      <c r="C16" s="3" t="inlineStr">
        <is>
          <t>Comisión sobre flujo</t>
        </is>
      </c>
      <c r="D16" s="3" t="inlineStr">
        <is>
          <t>Prima de seguro</t>
        </is>
      </c>
      <c r="E16" s="3" t="inlineStr">
        <is>
          <t>Fuente</t>
        </is>
      </c>
    </row>
    <row r="17">
      <c r="A17" s="4" t="inlineStr">
        <is>
          <t>AFP Ejemplo</t>
        </is>
      </c>
      <c r="B17" s="7" t="n">
        <v>0.1</v>
      </c>
      <c r="C17" s="7" t="n">
        <v>0.016</v>
      </c>
      <c r="D17" s="7" t="n">
        <v>0.0135</v>
      </c>
      <c r="E17" s="4" t="inlineStr">
        <is>
          <t>Enunciado del laboratorio (solo para los casos de prueba)</t>
        </is>
      </c>
    </row>
    <row r="18">
      <c r="A18" s="4" t="inlineStr">
        <is>
          <t>Habitat</t>
        </is>
      </c>
      <c r="B18" s="7" t="n">
        <v>0.1</v>
      </c>
      <c r="C18" s="7" t="n">
        <v>0.0147</v>
      </c>
      <c r="D18" s="7" t="n">
        <v>0.0137</v>
      </c>
      <c r="E18" s="4" t="inlineStr">
        <is>
          <t>SBS, comisiones y primas, mes de devengue 2026-10 (consultado el 28/10/2026)</t>
        </is>
      </c>
    </row>
    <row r="19">
      <c r="A19" s="4" t="inlineStr">
        <is>
          <t>Integra</t>
        </is>
      </c>
      <c r="B19" s="7" t="n">
        <v>0.1</v>
      </c>
      <c r="C19" s="7" t="n">
        <v>0.0155</v>
      </c>
      <c r="D19" s="7" t="n">
        <v>0.0137</v>
      </c>
      <c r="E19" s="4" t="inlineStr">
        <is>
          <t>SBS, comisiones y primas, mes de devengue 2026-10 (consultado el 28/10/2026)</t>
        </is>
      </c>
    </row>
    <row r="20">
      <c r="A20" s="4" t="inlineStr">
        <is>
          <t>Prima</t>
        </is>
      </c>
      <c r="B20" s="7" t="n">
        <v>0.1</v>
      </c>
      <c r="C20" s="7" t="n">
        <v>0.016</v>
      </c>
      <c r="D20" s="7" t="n">
        <v>0.0137</v>
      </c>
      <c r="E20" s="4" t="inlineStr">
        <is>
          <t>SBS, comisiones y primas, mes de devengue 2026-10 (consultado el 28/10/2026)</t>
        </is>
      </c>
    </row>
    <row r="21">
      <c r="A21" s="4" t="inlineStr">
        <is>
          <t>Profuturo</t>
        </is>
      </c>
      <c r="B21" s="7" t="n">
        <v>0.1</v>
      </c>
      <c r="C21" s="7" t="n">
        <v>0.0169</v>
      </c>
      <c r="D21" s="7" t="n">
        <v>0.0137</v>
      </c>
      <c r="E21" s="4" t="inlineStr">
        <is>
          <t>SBS, comisiones y primas, mes de devengue 2026-10 (consultado el 28/10/2026)</t>
        </is>
      </c>
    </row>
    <row r="23">
      <c r="A23" s="2" t="inlineStr">
        <is>
          <t>Leyenda: texto azul = dato que se puede cambiar · texto negro = fórmula · fondo amarillo = dato que se ingresa.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34" customWidth="1" min="1" max="1"/>
    <col width="20" customWidth="1" min="2" max="2"/>
    <col width="58" customWidth="1" min="3" max="3"/>
    <col width="52" customWidth="1" min="4" max="4"/>
  </cols>
  <sheetData>
    <row r="1">
      <c r="A1" s="1" t="inlineStr">
        <is>
          <t>Boleta de ejemplo · cálculo con fórmulas visibles</t>
        </is>
      </c>
    </row>
    <row r="2">
      <c r="A2" s="2" t="inlineStr">
        <is>
          <t>Cambia las celdas amarillas y la boleta se recalcula. Seleccione una celda negra para ver su fórmula.</t>
        </is>
      </c>
    </row>
    <row r="4">
      <c r="A4" s="3" t="inlineStr">
        <is>
          <t>Dato de entrada</t>
        </is>
      </c>
      <c r="B4" s="3" t="inlineStr">
        <is>
          <t>Valor</t>
        </is>
      </c>
      <c r="C4" s="3" t="inlineStr">
        <is>
          <t>Validación</t>
        </is>
      </c>
    </row>
    <row r="5">
      <c r="A5" s="4" t="inlineStr">
        <is>
          <t>Sueldo básico (S/)</t>
        </is>
      </c>
      <c r="B5" s="11" t="n">
        <v>3000</v>
      </c>
      <c r="C5" s="12" t="inlineStr">
        <is>
          <t>Mayor que cero</t>
        </is>
      </c>
    </row>
    <row r="6">
      <c r="A6" s="4" t="inlineStr">
        <is>
          <t>Días laborados</t>
        </is>
      </c>
      <c r="B6" s="13" t="n">
        <v>30</v>
      </c>
      <c r="C6" s="12" t="inlineStr">
        <is>
          <t>Entre 1 y 30</t>
        </is>
      </c>
    </row>
    <row r="7">
      <c r="A7" s="4" t="inlineStr">
        <is>
          <t>¿Tiene hijos? (Sí / No)</t>
        </is>
      </c>
      <c r="B7" s="14" t="inlineStr">
        <is>
          <t>Sí</t>
        </is>
      </c>
      <c r="C7" s="12" t="inlineStr">
        <is>
          <t>Lista: Sí, No</t>
        </is>
      </c>
    </row>
    <row r="8">
      <c r="A8" s="4" t="inlineStr">
        <is>
          <t>Sistema de pensiones (ONP / AFP)</t>
        </is>
      </c>
      <c r="B8" s="14" t="inlineStr">
        <is>
          <t>AFP</t>
        </is>
      </c>
      <c r="C8" s="12" t="inlineStr">
        <is>
          <t>Lista: ONP, AFP</t>
        </is>
      </c>
    </row>
    <row r="9">
      <c r="A9" s="4" t="inlineStr">
        <is>
          <t>AFP (si eligió AFP)</t>
        </is>
      </c>
      <c r="B9" s="14" t="inlineStr">
        <is>
          <t>AFP Ejemplo</t>
        </is>
      </c>
      <c r="C9" s="12" t="inlineStr">
        <is>
          <t>Lista de la hoja Parámetros</t>
        </is>
      </c>
    </row>
    <row r="10">
      <c r="A10" s="4" t="inlineStr">
        <is>
          <t>Horas extras al 25%</t>
        </is>
      </c>
      <c r="B10" s="15" t="n">
        <v>4</v>
      </c>
      <c r="C10" s="12" t="inlineStr">
        <is>
          <t>Mayor o igual a cero</t>
        </is>
      </c>
    </row>
    <row r="11">
      <c r="A11" s="4" t="inlineStr">
        <is>
          <t>Horas extras al 35%</t>
        </is>
      </c>
      <c r="B11" s="15" t="n">
        <v>4</v>
      </c>
      <c r="C11" s="12" t="inlineStr">
        <is>
          <t>Mayor o igual a cero</t>
        </is>
      </c>
    </row>
    <row r="12">
      <c r="A12" s="4" t="inlineStr">
        <is>
          <t>Adelantos (S/)</t>
        </is>
      </c>
      <c r="B12" s="11" t="n">
        <v>200</v>
      </c>
      <c r="C12" s="12" t="inlineStr">
        <is>
          <t>Mayor o igual a cero</t>
        </is>
      </c>
    </row>
    <row r="14">
      <c r="A14" s="16" t="inlineStr">
        <is>
          <t>Estado de los datos</t>
        </is>
      </c>
      <c r="B14" s="16">
        <f>IF(OR(B5&lt;=0,B6&lt;1,B6&gt;30,B6&lt;&gt;INT(B6),B10&lt;0,B11&lt;0,B12&lt;0),"Datos no válidos: revisa sueldo, días (1 a 30), horas y adelantos","Datos válidos")</f>
        <v/>
      </c>
    </row>
    <row r="16">
      <c r="A16" s="3" t="inlineStr">
        <is>
          <t>Concepto</t>
        </is>
      </c>
      <c r="B16" s="3" t="inlineStr">
        <is>
          <t>Monto (S/)</t>
        </is>
      </c>
      <c r="C16" s="3" t="inlineStr">
        <is>
          <t>Fórmula en Excel</t>
        </is>
      </c>
      <c r="D16" s="3" t="inlineStr">
        <is>
          <t>En palabras</t>
        </is>
      </c>
    </row>
    <row r="18">
      <c r="A18" s="17" t="inlineStr">
        <is>
          <t>REMUNERACIONES</t>
        </is>
      </c>
      <c r="B18" s="18" t="n"/>
      <c r="C18" s="18" t="n"/>
      <c r="D18" s="18" t="n"/>
    </row>
    <row r="19">
      <c r="A19" s="4" t="inlineStr">
        <is>
          <t>Sueldo computable</t>
        </is>
      </c>
      <c r="B19" s="19">
        <f>ROUND(B5/DiasMes*B6,2)</f>
        <v/>
      </c>
      <c r="C19" s="20" t="inlineStr">
        <is>
          <t>=REDONDEAR(Sueldo/DiasMes*Días;2)</t>
        </is>
      </c>
      <c r="D19" s="4" t="inlineStr">
        <is>
          <t>Sueldo básico ÷ 30 × días laborados</t>
        </is>
      </c>
    </row>
    <row r="20">
      <c r="A20" s="4" t="inlineStr">
        <is>
          <t>Asignación familiar</t>
        </is>
      </c>
      <c r="B20" s="19">
        <f>IF(B7="Sí",ROUND(RMV*TasaAsigFam,2),0)</f>
        <v/>
      </c>
      <c r="C20" s="20" t="inlineStr">
        <is>
          <t>=SI(Hijos="Sí";REDONDEAR(RMV*10%;2);0)</t>
        </is>
      </c>
      <c r="D20" s="4" t="inlineStr">
        <is>
          <t>10% de la RMV si tiene hijos; no depende de los días</t>
        </is>
      </c>
    </row>
    <row r="21">
      <c r="A21" s="4" t="inlineStr">
        <is>
          <t>Valor hora (referencia)</t>
        </is>
      </c>
      <c r="B21" s="19">
        <f>B5/DiasMes/HorasDia</f>
        <v/>
      </c>
      <c r="C21" s="20" t="inlineStr">
        <is>
          <t>=Sueldo/DiasMes/HorasDia</t>
        </is>
      </c>
      <c r="D21" s="4" t="inlineStr">
        <is>
          <t>Cuánto vale una hora normal (no se suma)</t>
        </is>
      </c>
    </row>
    <row r="22">
      <c r="A22" s="4" t="inlineStr">
        <is>
          <t>Horas extras 25%</t>
        </is>
      </c>
      <c r="B22" s="19">
        <f>ROUND(B21*Recargo25*B10,2)</f>
        <v/>
      </c>
      <c r="C22" s="20" t="inlineStr">
        <is>
          <t>=REDONDEAR(ValorHora*1.25*Horas25;2)</t>
        </is>
      </c>
      <c r="D22" s="4" t="inlineStr">
        <is>
          <t>Cada hora extra se paga 25% más cara</t>
        </is>
      </c>
    </row>
    <row r="23">
      <c r="A23" s="4" t="inlineStr">
        <is>
          <t>Horas extras 35%</t>
        </is>
      </c>
      <c r="B23" s="19">
        <f>ROUND(B21*Recargo35*B11,2)</f>
        <v/>
      </c>
      <c r="C23" s="20" t="inlineStr">
        <is>
          <t>=REDONDEAR(ValorHora*1.35*Horas35;2)</t>
        </is>
      </c>
      <c r="D23" s="4" t="inlineStr">
        <is>
          <t>Las siguientes horas extras se pagan 35% más caras</t>
        </is>
      </c>
    </row>
    <row r="24">
      <c r="A24" s="21" t="inlineStr">
        <is>
          <t>Total remuneraciones</t>
        </is>
      </c>
      <c r="B24" s="22">
        <f>B19+B20+B22+B23</f>
        <v/>
      </c>
      <c r="C24" s="20" t="inlineStr">
        <is>
          <t>=Computable+Asignación+HE25+HE35</t>
        </is>
      </c>
      <c r="D24" s="4" t="inlineStr">
        <is>
          <t>Todo lo que gana el trabajador en el mes (bruto)</t>
        </is>
      </c>
    </row>
    <row r="25">
      <c r="A25" s="17" t="inlineStr">
        <is>
          <t>RETENCIONES / DESCUENTOS</t>
        </is>
      </c>
      <c r="B25" s="18" t="n"/>
      <c r="C25" s="18" t="n"/>
      <c r="D25" s="18" t="n"/>
    </row>
    <row r="26">
      <c r="A26" s="4" t="inlineStr">
        <is>
          <t>ONP</t>
        </is>
      </c>
      <c r="B26" s="19">
        <f>IF(B8="ONP",ROUND(B24*TasaONP,2),0)</f>
        <v/>
      </c>
      <c r="C26" s="20" t="inlineStr">
        <is>
          <t>=SI(Sistema="ONP";REDONDEAR(TotalRem*13%;2);0)</t>
        </is>
      </c>
      <c r="D26" s="4" t="inlineStr">
        <is>
          <t>13% del total si está en la ONP</t>
        </is>
      </c>
    </row>
    <row r="27">
      <c r="A27" s="4" t="inlineStr">
        <is>
          <t>AFP fondo</t>
        </is>
      </c>
      <c r="B27" s="19">
        <f>IF(B8="AFP",ROUND(B24*INDEX(AFP_Fondo,MATCH(B9,AFP_Nombres,0)),2),0)</f>
        <v/>
      </c>
      <c r="C27" s="20" t="inlineStr">
        <is>
          <t>=SI(Sistema="AFP";REDONDEAR(TotalRem*TasaFondo;2);0)</t>
        </is>
      </c>
      <c r="D27" s="4" t="inlineStr">
        <is>
          <t>Ahorro para su propia cuenta de jubilación</t>
        </is>
      </c>
    </row>
    <row r="28">
      <c r="A28" s="4" t="inlineStr">
        <is>
          <t>AFP comisión</t>
        </is>
      </c>
      <c r="B28" s="19">
        <f>IF(B8="AFP",ROUND(B24*INDEX(AFP_Comision,MATCH(B9,AFP_Nombres,0)),2),0)</f>
        <v/>
      </c>
      <c r="C28" s="20" t="inlineStr">
        <is>
          <t>=SI(Sistema="AFP";REDONDEAR(TotalRem*TasaComisión;2);0)</t>
        </is>
      </c>
      <c r="D28" s="4" t="inlineStr">
        <is>
          <t>Lo que cobra la AFP por administrar el fondo</t>
        </is>
      </c>
    </row>
    <row r="29">
      <c r="A29" s="4" t="inlineStr">
        <is>
          <t>AFP seguro</t>
        </is>
      </c>
      <c r="B29" s="19">
        <f>IF(B8="AFP",ROUND(B24*INDEX(AFP_Seguro,MATCH(B9,AFP_Nombres,0)),2),0)</f>
        <v/>
      </c>
      <c r="C29" s="20" t="inlineStr">
        <is>
          <t>=SI(Sistema="AFP";REDONDEAR(TotalRem*TasaSeguro;2);0)</t>
        </is>
      </c>
      <c r="D29" s="4" t="inlineStr">
        <is>
          <t>Seguro de invalidez, sobrevivencia y sepelio</t>
        </is>
      </c>
    </row>
    <row r="30">
      <c r="A30" s="4" t="inlineStr">
        <is>
          <t>Adelantos</t>
        </is>
      </c>
      <c r="B30" s="19">
        <f>ROUND(B12,2)</f>
        <v/>
      </c>
      <c r="C30" s="20" t="inlineStr">
        <is>
          <t>=REDONDEAR(Adelantos;2)</t>
        </is>
      </c>
      <c r="D30" s="4" t="inlineStr">
        <is>
          <t>Dinero que ya se le pagó antes; se resta tal cual</t>
        </is>
      </c>
    </row>
    <row r="31">
      <c r="A31" s="21" t="inlineStr">
        <is>
          <t>Total descuentos</t>
        </is>
      </c>
      <c r="B31" s="22">
        <f>SUM(B26:B30)</f>
        <v/>
      </c>
      <c r="C31" s="20" t="inlineStr">
        <is>
          <t>=SUMA(ONP:Adelantos)</t>
        </is>
      </c>
      <c r="D31" s="4" t="inlineStr">
        <is>
          <t>Pensión (ONP o AFP) + adelantos</t>
        </is>
      </c>
    </row>
    <row r="32">
      <c r="A32" s="17" t="inlineStr">
        <is>
          <t>APORTACIONES DEL EMPLEADOR</t>
        </is>
      </c>
      <c r="B32" s="18" t="n"/>
      <c r="C32" s="18" t="n"/>
      <c r="D32" s="18" t="n"/>
    </row>
    <row r="33">
      <c r="A33" s="4" t="inlineStr">
        <is>
          <t>EsSalud (9%)</t>
        </is>
      </c>
      <c r="B33" s="19">
        <f>ROUND(B24*TasaEsSalud,2)</f>
        <v/>
      </c>
      <c r="C33" s="20" t="inlineStr">
        <is>
          <t>=REDONDEAR(TotalRem*9%;2)</t>
        </is>
      </c>
      <c r="D33" s="4" t="inlineStr">
        <is>
          <t>Lo paga la empresa: NO se descuenta al trabajador</t>
        </is>
      </c>
    </row>
    <row r="34">
      <c r="A34" s="23" t="inlineStr">
        <is>
          <t>NETO A PAGAR</t>
        </is>
      </c>
      <c r="B34" s="24">
        <f>B24-B31</f>
        <v/>
      </c>
      <c r="C34" s="25" t="inlineStr">
        <is>
          <t>=TotalRem-TotalDesc</t>
        </is>
      </c>
      <c r="D34" s="26" t="inlineStr">
        <is>
          <t>Lo que realmente llega al bolsillo</t>
        </is>
      </c>
    </row>
    <row r="35">
      <c r="A35" s="4" t="inlineStr">
        <is>
          <t>Costo total para el empleador</t>
        </is>
      </c>
      <c r="B35" s="19">
        <f>B24+B33</f>
        <v/>
      </c>
      <c r="C35" s="20" t="inlineStr">
        <is>
          <t>=TotalRem+EsSalud</t>
        </is>
      </c>
      <c r="D35" s="4" t="inlineStr">
        <is>
          <t>Remuneraciones + EsSalud</t>
        </is>
      </c>
    </row>
    <row r="36">
      <c r="A36" s="4" t="inlineStr">
        <is>
          <t>% del bruto que llega como neto</t>
        </is>
      </c>
      <c r="B36" s="27">
        <f>IF(B24=0,0,B34/B24)</f>
        <v/>
      </c>
      <c r="C36" s="20" t="inlineStr">
        <is>
          <t>=Neto/TotalRem</t>
        </is>
      </c>
      <c r="D36" s="4" t="inlineStr">
        <is>
          <t>Qué parte del sueldo bruto recibe el trabajador</t>
        </is>
      </c>
    </row>
  </sheetData>
  <dataValidations count="6">
    <dataValidation sqref="B7" showDropDown="0" showInputMessage="0" showErrorMessage="0" allowBlank="0" type="list">
      <formula1>"Sí,No"</formula1>
    </dataValidation>
    <dataValidation sqref="B8" showDropDown="0" showInputMessage="0" showErrorMessage="0" allowBlank="0" type="list">
      <formula1>"ONP,AFP"</formula1>
    </dataValidation>
    <dataValidation sqref="B9" showDropDown="0" showInputMessage="0" showErrorMessage="0" allowBlank="0" type="list">
      <formula1>=AFP_Nombres</formula1>
    </dataValidation>
    <dataValidation sqref="B6" showDropDown="0" showInputMessage="0" showErrorMessage="1" allowBlank="0" error="Los días laborados deben estar entre 1 y 30." type="whole" operator="between">
      <formula1>1</formula1>
      <formula2>30</formula2>
    </dataValidation>
    <dataValidation sqref="B5" showDropDown="0" showInputMessage="0" showErrorMessage="1" allowBlank="0" error="El sueldo debe ser mayor que cero." type="decimal" operator="greaterThan">
      <formula1>0</formula1>
    </dataValidation>
    <dataValidation sqref="B10:B12" showDropDown="0" showInputMessage="0" showErrorMessage="1" allowBlank="0" error="Debe ser mayor o igual a cero." type="decimal" operator="greaterThanOrEqual">
      <formula1>0</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Z1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s>
  <sheetData>
    <row r="1">
      <c r="A1" s="1" t="inlineStr">
        <is>
          <t>Casos de prueba y control cruzado con la app</t>
        </is>
      </c>
    </row>
    <row r="2">
      <c r="A2" s="2" t="inlineStr">
        <is>
          <t>Cada fila repite las fórmulas de la hoja Boleta. La columna 'Neto en la app' es lo que mostró la app en el simulador.</t>
        </is>
      </c>
    </row>
    <row r="4" ht="42" customHeight="1">
      <c r="A4" s="3" t="inlineStr">
        <is>
          <t>Caso</t>
        </is>
      </c>
      <c r="B4" s="3" t="inlineStr">
        <is>
          <t>Sueldo</t>
        </is>
      </c>
      <c r="C4" s="3" t="inlineStr">
        <is>
          <t>Días</t>
        </is>
      </c>
      <c r="D4" s="3" t="inlineStr">
        <is>
          <t>Hijos</t>
        </is>
      </c>
      <c r="E4" s="3" t="inlineStr">
        <is>
          <t>Sistema</t>
        </is>
      </c>
      <c r="F4" s="3" t="inlineStr">
        <is>
          <t>AFP</t>
        </is>
      </c>
      <c r="G4" s="3" t="inlineStr">
        <is>
          <t>HE 25% (h)</t>
        </is>
      </c>
      <c r="H4" s="3" t="inlineStr">
        <is>
          <t>HE 35% (h)</t>
        </is>
      </c>
      <c r="I4" s="3" t="inlineStr">
        <is>
          <t>Adelantos</t>
        </is>
      </c>
      <c r="J4" s="3" t="inlineStr">
        <is>
          <t>Sueldo computable</t>
        </is>
      </c>
      <c r="K4" s="3" t="inlineStr">
        <is>
          <t>Asignación familiar</t>
        </is>
      </c>
      <c r="L4" s="3" t="inlineStr">
        <is>
          <t>HE 25% S/</t>
        </is>
      </c>
      <c r="M4" s="3" t="inlineStr">
        <is>
          <t>HE 35% S/</t>
        </is>
      </c>
      <c r="N4" s="3" t="inlineStr">
        <is>
          <t>Total remuneraciones</t>
        </is>
      </c>
      <c r="O4" s="3" t="inlineStr">
        <is>
          <t>ONP</t>
        </is>
      </c>
      <c r="P4" s="3" t="inlineStr">
        <is>
          <t>AFP fondo</t>
        </is>
      </c>
      <c r="Q4" s="3" t="inlineStr">
        <is>
          <t>AFP comisión</t>
        </is>
      </c>
      <c r="R4" s="3" t="inlineStr">
        <is>
          <t>AFP seguro</t>
        </is>
      </c>
      <c r="S4" s="3" t="inlineStr">
        <is>
          <t>Adelantos S/</t>
        </is>
      </c>
      <c r="T4" s="3" t="inlineStr">
        <is>
          <t>Total descuentos</t>
        </is>
      </c>
      <c r="U4" s="3" t="inlineStr">
        <is>
          <t>NETO A PAGAR</t>
        </is>
      </c>
      <c r="V4" s="3" t="inlineStr">
        <is>
          <t>EsSalud</t>
        </is>
      </c>
      <c r="W4" s="3" t="inlineStr">
        <is>
          <t>Neto del enunciado</t>
        </is>
      </c>
      <c r="X4" s="3" t="inlineStr">
        <is>
          <t>Neto en la app</t>
        </is>
      </c>
      <c r="Y4" s="3" t="inlineStr">
        <is>
          <t>Diferencia Excel − app</t>
        </is>
      </c>
      <c r="Z4" s="3" t="inlineStr">
        <is>
          <t>¿Coincide?</t>
        </is>
      </c>
    </row>
    <row r="5">
      <c r="A5" s="21" t="inlineStr">
        <is>
          <t>Caso 1</t>
        </is>
      </c>
      <c r="B5" s="28" t="n">
        <v>2500</v>
      </c>
      <c r="C5" s="28" t="n">
        <v>30</v>
      </c>
      <c r="D5" s="28" t="inlineStr">
        <is>
          <t>No</t>
        </is>
      </c>
      <c r="E5" s="28" t="inlineStr">
        <is>
          <t>ONP</t>
        </is>
      </c>
      <c r="F5" s="28" t="inlineStr">
        <is>
          <t>AFP Ejemplo</t>
        </is>
      </c>
      <c r="G5" s="28" t="n">
        <v>0</v>
      </c>
      <c r="H5" s="28" t="n">
        <v>0</v>
      </c>
      <c r="I5" s="28" t="n">
        <v>0</v>
      </c>
      <c r="J5" s="19">
        <f>ROUND(B5/DiasMes*C5,2)</f>
        <v/>
      </c>
      <c r="K5" s="19">
        <f>IF(D5="Sí",ROUND(RMV*TasaAsigFam,2),0)</f>
        <v/>
      </c>
      <c r="L5" s="19">
        <f>ROUND(B5/DiasMes/HorasDia*Recargo25*G5,2)</f>
        <v/>
      </c>
      <c r="M5" s="19">
        <f>ROUND(B5/DiasMes/HorasDia*Recargo35*H5,2)</f>
        <v/>
      </c>
      <c r="N5" s="19">
        <f>J5+K5+L5+M5</f>
        <v/>
      </c>
      <c r="O5" s="19">
        <f>IF(E5="ONP",ROUND(N5*TasaONP,2),0)</f>
        <v/>
      </c>
      <c r="P5" s="19">
        <f>IF(E5="AFP",ROUND(N5*INDEX(AFP_Fondo,MATCH(F5,AFP_Nombres,0)),2),0)</f>
        <v/>
      </c>
      <c r="Q5" s="19">
        <f>IF(E5="AFP",ROUND(N5*INDEX(AFP_Comision,MATCH(F5,AFP_Nombres,0)),2),0)</f>
        <v/>
      </c>
      <c r="R5" s="19">
        <f>IF(E5="AFP",ROUND(N5*INDEX(AFP_Seguro,MATCH(F5,AFP_Nombres,0)),2),0)</f>
        <v/>
      </c>
      <c r="S5" s="19">
        <f>ROUND(I5,2)</f>
        <v/>
      </c>
      <c r="T5" s="19">
        <f>SUM(O5:S5)</f>
        <v/>
      </c>
      <c r="U5" s="29">
        <f>N5-T5</f>
        <v/>
      </c>
      <c r="V5" s="19">
        <f>ROUND(N5*TasaEsSalud,2)</f>
        <v/>
      </c>
      <c r="W5" s="5" t="n">
        <v>2175</v>
      </c>
      <c r="X5" s="5" t="n">
        <v>2175</v>
      </c>
      <c r="Y5" s="19">
        <f>ROUND(U5-X5,2)</f>
        <v/>
      </c>
      <c r="Z5" s="30">
        <f>IF(ROUND(U5-X5,2)=0,"Sí, al centavo","NO: revisar")</f>
        <v/>
      </c>
    </row>
    <row r="6">
      <c r="A6" s="21" t="inlineStr">
        <is>
          <t>Caso 2</t>
        </is>
      </c>
      <c r="B6" s="28" t="n">
        <v>1800</v>
      </c>
      <c r="C6" s="28" t="n">
        <v>27</v>
      </c>
      <c r="D6" s="28" t="inlineStr">
        <is>
          <t>Sí</t>
        </is>
      </c>
      <c r="E6" s="28" t="inlineStr">
        <is>
          <t>ONP</t>
        </is>
      </c>
      <c r="F6" s="28" t="inlineStr">
        <is>
          <t>AFP Ejemplo</t>
        </is>
      </c>
      <c r="G6" s="28" t="n">
        <v>0</v>
      </c>
      <c r="H6" s="28" t="n">
        <v>0</v>
      </c>
      <c r="I6" s="28" t="n">
        <v>0</v>
      </c>
      <c r="J6" s="19">
        <f>ROUND(B6/DiasMes*C6,2)</f>
        <v/>
      </c>
      <c r="K6" s="19">
        <f>IF(D6="Sí",ROUND(RMV*TasaAsigFam,2),0)</f>
        <v/>
      </c>
      <c r="L6" s="19">
        <f>ROUND(B6/DiasMes/HorasDia*Recargo25*G6,2)</f>
        <v/>
      </c>
      <c r="M6" s="19">
        <f>ROUND(B6/DiasMes/HorasDia*Recargo35*H6,2)</f>
        <v/>
      </c>
      <c r="N6" s="19">
        <f>J6+K6+L6+M6</f>
        <v/>
      </c>
      <c r="O6" s="19">
        <f>IF(E6="ONP",ROUND(N6*TasaONP,2),0)</f>
        <v/>
      </c>
      <c r="P6" s="19">
        <f>IF(E6="AFP",ROUND(N6*INDEX(AFP_Fondo,MATCH(F6,AFP_Nombres,0)),2),0)</f>
        <v/>
      </c>
      <c r="Q6" s="19">
        <f>IF(E6="AFP",ROUND(N6*INDEX(AFP_Comision,MATCH(F6,AFP_Nombres,0)),2),0)</f>
        <v/>
      </c>
      <c r="R6" s="19">
        <f>IF(E6="AFP",ROUND(N6*INDEX(AFP_Seguro,MATCH(F6,AFP_Nombres,0)),2),0)</f>
        <v/>
      </c>
      <c r="S6" s="19">
        <f>ROUND(I6,2)</f>
        <v/>
      </c>
      <c r="T6" s="19">
        <f>SUM(O6:S6)</f>
        <v/>
      </c>
      <c r="U6" s="29">
        <f>N6-T6</f>
        <v/>
      </c>
      <c r="V6" s="19">
        <f>ROUND(N6*TasaEsSalud,2)</f>
        <v/>
      </c>
      <c r="W6" s="5" t="n">
        <v>1516.41</v>
      </c>
      <c r="X6" s="5" t="n">
        <v>1516.41</v>
      </c>
      <c r="Y6" s="19">
        <f>ROUND(U6-X6,2)</f>
        <v/>
      </c>
      <c r="Z6" s="30">
        <f>IF(ROUND(U6-X6,2)=0,"Sí, al centavo","NO: revisar")</f>
        <v/>
      </c>
    </row>
    <row r="7">
      <c r="A7" s="21" t="inlineStr">
        <is>
          <t>Caso 3</t>
        </is>
      </c>
      <c r="B7" s="28" t="n">
        <v>3000</v>
      </c>
      <c r="C7" s="28" t="n">
        <v>30</v>
      </c>
      <c r="D7" s="28" t="inlineStr">
        <is>
          <t>Sí</t>
        </is>
      </c>
      <c r="E7" s="28" t="inlineStr">
        <is>
          <t>AFP</t>
        </is>
      </c>
      <c r="F7" s="28" t="inlineStr">
        <is>
          <t>AFP Ejemplo</t>
        </is>
      </c>
      <c r="G7" s="28" t="n">
        <v>4</v>
      </c>
      <c r="H7" s="28" t="n">
        <v>4</v>
      </c>
      <c r="I7" s="28" t="n">
        <v>200</v>
      </c>
      <c r="J7" s="19">
        <f>ROUND(B7/DiasMes*C7,2)</f>
        <v/>
      </c>
      <c r="K7" s="19">
        <f>IF(D7="Sí",ROUND(RMV*TasaAsigFam,2),0)</f>
        <v/>
      </c>
      <c r="L7" s="19">
        <f>ROUND(B7/DiasMes/HorasDia*Recargo25*G7,2)</f>
        <v/>
      </c>
      <c r="M7" s="19">
        <f>ROUND(B7/DiasMes/HorasDia*Recargo35*H7,2)</f>
        <v/>
      </c>
      <c r="N7" s="19">
        <f>J7+K7+L7+M7</f>
        <v/>
      </c>
      <c r="O7" s="19">
        <f>IF(E7="ONP",ROUND(N7*TasaONP,2),0)</f>
        <v/>
      </c>
      <c r="P7" s="19">
        <f>IF(E7="AFP",ROUND(N7*INDEX(AFP_Fondo,MATCH(F7,AFP_Nombres,0)),2),0)</f>
        <v/>
      </c>
      <c r="Q7" s="19">
        <f>IF(E7="AFP",ROUND(N7*INDEX(AFP_Comision,MATCH(F7,AFP_Nombres,0)),2),0)</f>
        <v/>
      </c>
      <c r="R7" s="19">
        <f>IF(E7="AFP",ROUND(N7*INDEX(AFP_Seguro,MATCH(F7,AFP_Nombres,0)),2),0)</f>
        <v/>
      </c>
      <c r="S7" s="19">
        <f>ROUND(I7,2)</f>
        <v/>
      </c>
      <c r="T7" s="19">
        <f>SUM(O7:S7)</f>
        <v/>
      </c>
      <c r="U7" s="29">
        <f>N7-T7</f>
        <v/>
      </c>
      <c r="V7" s="19">
        <f>ROUND(N7*TasaEsSalud,2)</f>
        <v/>
      </c>
      <c r="W7" s="5" t="n">
        <v>2631.73</v>
      </c>
      <c r="X7" s="5" t="n">
        <v>2631.73</v>
      </c>
      <c r="Y7" s="19">
        <f>ROUND(U7-X7,2)</f>
        <v/>
      </c>
      <c r="Z7" s="30">
        <f>IF(ROUND(U7-X7,2)=0,"Sí, al centavo","NO: revisar")</f>
        <v/>
      </c>
    </row>
    <row r="8">
      <c r="A8" s="21" t="inlineStr">
        <is>
          <t>Caso 4 (lo revisa el docente)</t>
        </is>
      </c>
      <c r="B8" s="28" t="n">
        <v>4200</v>
      </c>
      <c r="C8" s="28" t="n">
        <v>24</v>
      </c>
      <c r="D8" s="28" t="inlineStr">
        <is>
          <t>Sí</t>
        </is>
      </c>
      <c r="E8" s="28" t="inlineStr">
        <is>
          <t>AFP</t>
        </is>
      </c>
      <c r="F8" s="28" t="inlineStr">
        <is>
          <t>AFP Ejemplo</t>
        </is>
      </c>
      <c r="G8" s="28" t="n">
        <v>2</v>
      </c>
      <c r="H8" s="28" t="n">
        <v>2</v>
      </c>
      <c r="I8" s="28" t="n">
        <v>100</v>
      </c>
      <c r="J8" s="19">
        <f>ROUND(B8/DiasMes*C8,2)</f>
        <v/>
      </c>
      <c r="K8" s="19">
        <f>IF(D8="Sí",ROUND(RMV*TasaAsigFam,2),0)</f>
        <v/>
      </c>
      <c r="L8" s="19">
        <f>ROUND(B8/DiasMes/HorasDia*Recargo25*G8,2)</f>
        <v/>
      </c>
      <c r="M8" s="19">
        <f>ROUND(B8/DiasMes/HorasDia*Recargo35*H8,2)</f>
        <v/>
      </c>
      <c r="N8" s="19">
        <f>J8+K8+L8+M8</f>
        <v/>
      </c>
      <c r="O8" s="19">
        <f>IF(E8="ONP",ROUND(N8*TasaONP,2),0)</f>
        <v/>
      </c>
      <c r="P8" s="19">
        <f>IF(E8="AFP",ROUND(N8*INDEX(AFP_Fondo,MATCH(F8,AFP_Nombres,0)),2),0)</f>
        <v/>
      </c>
      <c r="Q8" s="19">
        <f>IF(E8="AFP",ROUND(N8*INDEX(AFP_Comision,MATCH(F8,AFP_Nombres,0)),2),0)</f>
        <v/>
      </c>
      <c r="R8" s="19">
        <f>IF(E8="AFP",ROUND(N8*INDEX(AFP_Seguro,MATCH(F8,AFP_Nombres,0)),2),0)</f>
        <v/>
      </c>
      <c r="S8" s="19">
        <f>ROUND(I8,2)</f>
        <v/>
      </c>
      <c r="T8" s="19">
        <f>SUM(O8:S8)</f>
        <v/>
      </c>
      <c r="U8" s="29">
        <f>N8-T8</f>
        <v/>
      </c>
      <c r="V8" s="19">
        <f>ROUND(N8*TasaEsSalud,2)</f>
        <v/>
      </c>
      <c r="W8" s="5" t="inlineStr">
        <is>
          <t>—</t>
        </is>
      </c>
      <c r="X8" s="5" t="n">
        <v>3011.17</v>
      </c>
      <c r="Y8" s="19">
        <f>ROUND(U8-X8,2)</f>
        <v/>
      </c>
      <c r="Z8" s="30">
        <f>IF(ROUND(U8-X8,2)=0,"Sí, al centavo","NO: revisar")</f>
        <v/>
      </c>
    </row>
    <row r="9">
      <c r="A9" s="21" t="inlineStr">
        <is>
          <t>Caso propio: oferta real S/ 1,700 (Habitat)</t>
        </is>
      </c>
      <c r="B9" s="28" t="n">
        <v>1700</v>
      </c>
      <c r="C9" s="28" t="n">
        <v>30</v>
      </c>
      <c r="D9" s="28" t="inlineStr">
        <is>
          <t>No</t>
        </is>
      </c>
      <c r="E9" s="28" t="inlineStr">
        <is>
          <t>AFP</t>
        </is>
      </c>
      <c r="F9" s="28" t="inlineStr">
        <is>
          <t>Habitat</t>
        </is>
      </c>
      <c r="G9" s="28" t="n">
        <v>0</v>
      </c>
      <c r="H9" s="28" t="n">
        <v>0</v>
      </c>
      <c r="I9" s="28" t="n">
        <v>0</v>
      </c>
      <c r="J9" s="19">
        <f>ROUND(B9/DiasMes*C9,2)</f>
        <v/>
      </c>
      <c r="K9" s="19">
        <f>IF(D9="Sí",ROUND(RMV*TasaAsigFam,2),0)</f>
        <v/>
      </c>
      <c r="L9" s="19">
        <f>ROUND(B9/DiasMes/HorasDia*Recargo25*G9,2)</f>
        <v/>
      </c>
      <c r="M9" s="19">
        <f>ROUND(B9/DiasMes/HorasDia*Recargo35*H9,2)</f>
        <v/>
      </c>
      <c r="N9" s="19">
        <f>J9+K9+L9+M9</f>
        <v/>
      </c>
      <c r="O9" s="19">
        <f>IF(E9="ONP",ROUND(N9*TasaONP,2),0)</f>
        <v/>
      </c>
      <c r="P9" s="19">
        <f>IF(E9="AFP",ROUND(N9*INDEX(AFP_Fondo,MATCH(F9,AFP_Nombres,0)),2),0)</f>
        <v/>
      </c>
      <c r="Q9" s="19">
        <f>IF(E9="AFP",ROUND(N9*INDEX(AFP_Comision,MATCH(F9,AFP_Nombres,0)),2),0)</f>
        <v/>
      </c>
      <c r="R9" s="19">
        <f>IF(E9="AFP",ROUND(N9*INDEX(AFP_Seguro,MATCH(F9,AFP_Nombres,0)),2),0)</f>
        <v/>
      </c>
      <c r="S9" s="19">
        <f>ROUND(I9,2)</f>
        <v/>
      </c>
      <c r="T9" s="19">
        <f>SUM(O9:S9)</f>
        <v/>
      </c>
      <c r="U9" s="29">
        <f>N9-T9</f>
        <v/>
      </c>
      <c r="V9" s="19">
        <f>ROUND(N9*TasaEsSalud,2)</f>
        <v/>
      </c>
      <c r="W9" s="5" t="inlineStr">
        <is>
          <t>—</t>
        </is>
      </c>
      <c r="X9" s="5" t="n">
        <v>1481.72</v>
      </c>
      <c r="Y9" s="19">
        <f>ROUND(U9-X9,2)</f>
        <v/>
      </c>
      <c r="Z9" s="30">
        <f>IF(ROUND(U9-X9,2)=0,"Sí, al centavo","NO: revisar")</f>
        <v/>
      </c>
    </row>
    <row r="10">
      <c r="A10" s="21" t="inlineStr">
        <is>
          <t>Análisis 1: caso 3 con ONP</t>
        </is>
      </c>
      <c r="B10" s="28" t="n">
        <v>3000</v>
      </c>
      <c r="C10" s="28" t="n">
        <v>30</v>
      </c>
      <c r="D10" s="28" t="inlineStr">
        <is>
          <t>Sí</t>
        </is>
      </c>
      <c r="E10" s="28" t="inlineStr">
        <is>
          <t>ONP</t>
        </is>
      </c>
      <c r="F10" s="28" t="inlineStr">
        <is>
          <t>AFP Ejemplo</t>
        </is>
      </c>
      <c r="G10" s="28" t="n">
        <v>4</v>
      </c>
      <c r="H10" s="28" t="n">
        <v>4</v>
      </c>
      <c r="I10" s="28" t="n">
        <v>200</v>
      </c>
      <c r="J10" s="19">
        <f>ROUND(B10/DiasMes*C10,2)</f>
        <v/>
      </c>
      <c r="K10" s="19">
        <f>IF(D10="Sí",ROUND(RMV*TasaAsigFam,2),0)</f>
        <v/>
      </c>
      <c r="L10" s="19">
        <f>ROUND(B10/DiasMes/HorasDia*Recargo25*G10,2)</f>
        <v/>
      </c>
      <c r="M10" s="19">
        <f>ROUND(B10/DiasMes/HorasDia*Recargo35*H10,2)</f>
        <v/>
      </c>
      <c r="N10" s="19">
        <f>J10+K10+L10+M10</f>
        <v/>
      </c>
      <c r="O10" s="19">
        <f>IF(E10="ONP",ROUND(N10*TasaONP,2),0)</f>
        <v/>
      </c>
      <c r="P10" s="19">
        <f>IF(E10="AFP",ROUND(N10*INDEX(AFP_Fondo,MATCH(F10,AFP_Nombres,0)),2),0)</f>
        <v/>
      </c>
      <c r="Q10" s="19">
        <f>IF(E10="AFP",ROUND(N10*INDEX(AFP_Comision,MATCH(F10,AFP_Nombres,0)),2),0)</f>
        <v/>
      </c>
      <c r="R10" s="19">
        <f>IF(E10="AFP",ROUND(N10*INDEX(AFP_Seguro,MATCH(F10,AFP_Nombres,0)),2),0)</f>
        <v/>
      </c>
      <c r="S10" s="19">
        <f>ROUND(I10,2)</f>
        <v/>
      </c>
      <c r="T10" s="19">
        <f>SUM(O10:S10)</f>
        <v/>
      </c>
      <c r="U10" s="29">
        <f>N10-T10</f>
        <v/>
      </c>
      <c r="V10" s="19">
        <f>ROUND(N10*TasaEsSalud,2)</f>
        <v/>
      </c>
      <c r="W10" s="5" t="inlineStr">
        <is>
          <t>—</t>
        </is>
      </c>
      <c r="X10" s="5" t="n">
        <v>2630.11</v>
      </c>
      <c r="Y10" s="19">
        <f>ROUND(U10-X10,2)</f>
        <v/>
      </c>
      <c r="Z10" s="30">
        <f>IF(ROUND(U10-X10,2)=0,"Sí, al centavo","NO: revisar")</f>
        <v/>
      </c>
    </row>
    <row r="11">
      <c r="A11" s="21" t="inlineStr">
        <is>
          <t>Análisis 3: caso 2 con 30 días</t>
        </is>
      </c>
      <c r="B11" s="28" t="n">
        <v>1800</v>
      </c>
      <c r="C11" s="28" t="n">
        <v>30</v>
      </c>
      <c r="D11" s="28" t="inlineStr">
        <is>
          <t>Sí</t>
        </is>
      </c>
      <c r="E11" s="28" t="inlineStr">
        <is>
          <t>ONP</t>
        </is>
      </c>
      <c r="F11" s="28" t="inlineStr">
        <is>
          <t>AFP Ejemplo</t>
        </is>
      </c>
      <c r="G11" s="28" t="n">
        <v>0</v>
      </c>
      <c r="H11" s="28" t="n">
        <v>0</v>
      </c>
      <c r="I11" s="28" t="n">
        <v>0</v>
      </c>
      <c r="J11" s="19">
        <f>ROUND(B11/DiasMes*C11,2)</f>
        <v/>
      </c>
      <c r="K11" s="19">
        <f>IF(D11="Sí",ROUND(RMV*TasaAsigFam,2),0)</f>
        <v/>
      </c>
      <c r="L11" s="19">
        <f>ROUND(B11/DiasMes/HorasDia*Recargo25*G11,2)</f>
        <v/>
      </c>
      <c r="M11" s="19">
        <f>ROUND(B11/DiasMes/HorasDia*Recargo35*H11,2)</f>
        <v/>
      </c>
      <c r="N11" s="19">
        <f>J11+K11+L11+M11</f>
        <v/>
      </c>
      <c r="O11" s="19">
        <f>IF(E11="ONP",ROUND(N11*TasaONP,2),0)</f>
        <v/>
      </c>
      <c r="P11" s="19">
        <f>IF(E11="AFP",ROUND(N11*INDEX(AFP_Fondo,MATCH(F11,AFP_Nombres,0)),2),0)</f>
        <v/>
      </c>
      <c r="Q11" s="19">
        <f>IF(E11="AFP",ROUND(N11*INDEX(AFP_Comision,MATCH(F11,AFP_Nombres,0)),2),0)</f>
        <v/>
      </c>
      <c r="R11" s="19">
        <f>IF(E11="AFP",ROUND(N11*INDEX(AFP_Seguro,MATCH(F11,AFP_Nombres,0)),2),0)</f>
        <v/>
      </c>
      <c r="S11" s="19">
        <f>ROUND(I11,2)</f>
        <v/>
      </c>
      <c r="T11" s="19">
        <f>SUM(O11:S11)</f>
        <v/>
      </c>
      <c r="U11" s="29">
        <f>N11-T11</f>
        <v/>
      </c>
      <c r="V11" s="19">
        <f>ROUND(N11*TasaEsSalud,2)</f>
        <v/>
      </c>
      <c r="W11" s="5" t="inlineStr">
        <is>
          <t>—</t>
        </is>
      </c>
      <c r="X11" s="5" t="n">
        <v>1673.01</v>
      </c>
      <c r="Y11" s="19">
        <f>ROUND(U11-X11,2)</f>
        <v/>
      </c>
      <c r="Z11" s="30">
        <f>IF(ROUND(U11-X11,2)=0,"Sí, al centavo","NO: revisar")</f>
        <v/>
      </c>
    </row>
    <row r="12">
      <c r="A12" s="21" t="inlineStr">
        <is>
          <t>Caso propio con ONP</t>
        </is>
      </c>
      <c r="B12" s="28" t="n">
        <v>1700</v>
      </c>
      <c r="C12" s="28" t="n">
        <v>30</v>
      </c>
      <c r="D12" s="28" t="inlineStr">
        <is>
          <t>No</t>
        </is>
      </c>
      <c r="E12" s="28" t="inlineStr">
        <is>
          <t>ONP</t>
        </is>
      </c>
      <c r="F12" s="28" t="inlineStr">
        <is>
          <t>AFP Ejemplo</t>
        </is>
      </c>
      <c r="G12" s="28" t="n">
        <v>0</v>
      </c>
      <c r="H12" s="28" t="n">
        <v>0</v>
      </c>
      <c r="I12" s="28" t="n">
        <v>0</v>
      </c>
      <c r="J12" s="19">
        <f>ROUND(B12/DiasMes*C12,2)</f>
        <v/>
      </c>
      <c r="K12" s="19">
        <f>IF(D12="Sí",ROUND(RMV*TasaAsigFam,2),0)</f>
        <v/>
      </c>
      <c r="L12" s="19">
        <f>ROUND(B12/DiasMes/HorasDia*Recargo25*G12,2)</f>
        <v/>
      </c>
      <c r="M12" s="19">
        <f>ROUND(B12/DiasMes/HorasDia*Recargo35*H12,2)</f>
        <v/>
      </c>
      <c r="N12" s="19">
        <f>J12+K12+L12+M12</f>
        <v/>
      </c>
      <c r="O12" s="19">
        <f>IF(E12="ONP",ROUND(N12*TasaONP,2),0)</f>
        <v/>
      </c>
      <c r="P12" s="19">
        <f>IF(E12="AFP",ROUND(N12*INDEX(AFP_Fondo,MATCH(F12,AFP_Nombres,0)),2),0)</f>
        <v/>
      </c>
      <c r="Q12" s="19">
        <f>IF(E12="AFP",ROUND(N12*INDEX(AFP_Comision,MATCH(F12,AFP_Nombres,0)),2),0)</f>
        <v/>
      </c>
      <c r="R12" s="19">
        <f>IF(E12="AFP",ROUND(N12*INDEX(AFP_Seguro,MATCH(F12,AFP_Nombres,0)),2),0)</f>
        <v/>
      </c>
      <c r="S12" s="19">
        <f>ROUND(I12,2)</f>
        <v/>
      </c>
      <c r="T12" s="19">
        <f>SUM(O12:S12)</f>
        <v/>
      </c>
      <c r="U12" s="29">
        <f>N12-T12</f>
        <v/>
      </c>
      <c r="V12" s="19">
        <f>ROUND(N12*TasaEsSalud,2)</f>
        <v/>
      </c>
      <c r="W12" s="5" t="inlineStr">
        <is>
          <t>—</t>
        </is>
      </c>
      <c r="X12" s="5" t="n">
        <v>1479</v>
      </c>
      <c r="Y12" s="19">
        <f>ROUND(U12-X12,2)</f>
        <v/>
      </c>
      <c r="Z12" s="30">
        <f>IF(ROUND(U12-X12,2)=0,"Sí, al centavo","NO: revisar")</f>
        <v/>
      </c>
    </row>
    <row r="14">
      <c r="A14" s="2" t="inlineStr">
        <is>
          <t>Fuente del caso propio: oferta 'Asistente de TI - Desarrollo y Soporte de Sistemas', Computrabajo Perú, S/ 1,700.00 mensuales, consultada el 28/10/2026: https://pe.computrabajo.com/ofertas-de-trabajo/oferta-de-trabajo-de-asistente-de-ti-desarrollo-y-soporte-de-sistemas-puente-piedra-en-puente-piedra-70B2AA847863D68061373E686DCF3405</t>
        </is>
      </c>
    </row>
    <row r="15">
      <c r="A15" s="2" t="inlineStr">
        <is>
          <t>La boleta del caso propio usa nombres ficticios (Empresa Ejemplo S.A.C. / Trabajador de ejemplo); solo el sueldo viene de la oferta real.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cols>
    <col width="30" customWidth="1" min="1" max="1"/>
    <col width="80" customWidth="1" min="2" max="2"/>
    <col width="40" customWidth="1" min="3" max="3"/>
    <col width="16" customWidth="1" min="4" max="4"/>
  </cols>
  <sheetData>
    <row r="1">
      <c r="A1" s="1" t="inlineStr">
        <is>
          <t>Explicación de cada fórmula (para alguien que no sabe contabilidad)</t>
        </is>
      </c>
    </row>
    <row r="2">
      <c r="A2" s="2" t="inlineStr">
        <is>
          <t>Ejemplo numérico con el caso 3: sueldo S/ 3,000 · 30 días · con hijos · AFP Ejemplo · 4 h al 25% · 4 h al 35% · adelanto S/ 200</t>
        </is>
      </c>
    </row>
    <row r="4">
      <c r="A4" s="3" t="inlineStr">
        <is>
          <t>Concepto</t>
        </is>
      </c>
      <c r="B4" s="3" t="inlineStr">
        <is>
          <t>Qué significa y cómo se calcula</t>
        </is>
      </c>
      <c r="C4" s="3" t="inlineStr">
        <is>
          <t>Ejemplo numérico (caso 3)</t>
        </is>
      </c>
      <c r="D4" s="3" t="inlineStr">
        <is>
          <t>Resultado (S/)</t>
        </is>
      </c>
    </row>
    <row r="5">
      <c r="A5" s="31" t="inlineStr">
        <is>
          <t>Sueldo computable</t>
        </is>
      </c>
      <c r="B5" s="32" t="inlineStr">
        <is>
          <t>Es la parte del sueldo que corresponde a los días que trabajó. Se divide el sueldo entre 30 para saber cuánto vale un día y se multiplica por los días laborados.</t>
        </is>
      </c>
      <c r="C5" s="32" t="inlineStr">
        <is>
          <t>3,000 ÷ 30 × 30</t>
        </is>
      </c>
      <c r="D5" s="33">
        <f>Casos!J7</f>
        <v/>
      </c>
    </row>
    <row r="6">
      <c r="A6" s="31" t="inlineStr">
        <is>
          <t>Asignación familiar</t>
        </is>
      </c>
      <c r="B6" s="32" t="inlineStr">
        <is>
          <t>Si el trabajador tiene hijos, recibe un monto fijo igual al 10% de la RMV. No se reduce si faltó algunos días.</t>
        </is>
      </c>
      <c r="C6" s="32" t="inlineStr">
        <is>
          <t>10% × 1,230</t>
        </is>
      </c>
      <c r="D6" s="33">
        <f>Casos!K7</f>
        <v/>
      </c>
    </row>
    <row r="7">
      <c r="A7" s="31" t="inlineStr">
        <is>
          <t>Valor hora</t>
        </is>
      </c>
      <c r="B7" s="32" t="inlineStr">
        <is>
          <t>Cuánto vale una hora normal de trabajo: sueldo ÷ 30 días ÷ 8 horas. Solo se usa para calcular las horas extras.</t>
        </is>
      </c>
      <c r="C7" s="32" t="inlineStr">
        <is>
          <t>3,000 ÷ 30 ÷ 8 = 12.50</t>
        </is>
      </c>
      <c r="D7" s="33">
        <f>Casos!B7/DiasMes/HorasDia</f>
        <v/>
      </c>
    </row>
    <row r="8">
      <c r="A8" s="31" t="inlineStr">
        <is>
          <t>Horas extras al 25%</t>
        </is>
      </c>
      <c r="B8" s="32" t="inlineStr">
        <is>
          <t>Las horas extra se pagan más caras que las normales: las primeras con 25% de recargo (valor hora × 1.25).</t>
        </is>
      </c>
      <c r="C8" s="32" t="inlineStr">
        <is>
          <t>12.50 × 1.25 × 4</t>
        </is>
      </c>
      <c r="D8" s="33">
        <f>Casos!L7</f>
        <v/>
      </c>
    </row>
    <row r="9">
      <c r="A9" s="31" t="inlineStr">
        <is>
          <t>Horas extras al 35%</t>
        </is>
      </c>
      <c r="B9" s="32" t="inlineStr">
        <is>
          <t>Las siguientes horas extra tienen 35% de recargo (valor hora × 1.35).</t>
        </is>
      </c>
      <c r="C9" s="32" t="inlineStr">
        <is>
          <t>12.50 × 1.35 × 4</t>
        </is>
      </c>
      <c r="D9" s="33">
        <f>Casos!M7</f>
        <v/>
      </c>
    </row>
    <row r="10">
      <c r="A10" s="31" t="inlineStr">
        <is>
          <t>Total remuneraciones</t>
        </is>
      </c>
      <c r="B10" s="32" t="inlineStr">
        <is>
          <t>Todo lo que gana en el mes antes de descuentos (sueldo bruto del mes).</t>
        </is>
      </c>
      <c r="C10" s="32" t="inlineStr">
        <is>
          <t>3,000 + 123 + 62.50 + 67.50</t>
        </is>
      </c>
      <c r="D10" s="33">
        <f>Casos!N7</f>
        <v/>
      </c>
    </row>
    <row r="11">
      <c r="A11" s="31" t="inlineStr">
        <is>
          <t>ONP</t>
        </is>
      </c>
      <c r="B11" s="32" t="inlineStr">
        <is>
          <t>Si está en la ONP (sistema del Estado), se le descuenta el 13% del total para su pensión.</t>
        </is>
      </c>
      <c r="C11" s="32" t="inlineStr">
        <is>
          <t>No aplica en el caso 3 (está en AFP)</t>
        </is>
      </c>
      <c r="D11" s="33">
        <f>Casos!O7</f>
        <v/>
      </c>
    </row>
    <row r="12">
      <c r="A12" s="31" t="inlineStr">
        <is>
          <t>AFP fondo</t>
        </is>
      </c>
      <c r="B12" s="32" t="inlineStr">
        <is>
          <t>Si está en una AFP, el 10% va a su propia cuenta de ahorro para la jubilación.</t>
        </is>
      </c>
      <c r="C12" s="32" t="inlineStr">
        <is>
          <t>3,253 × 10%</t>
        </is>
      </c>
      <c r="D12" s="33">
        <f>Casos!P7</f>
        <v/>
      </c>
    </row>
    <row r="13">
      <c r="A13" s="31" t="inlineStr">
        <is>
          <t>AFP comisión</t>
        </is>
      </c>
      <c r="B13" s="32" t="inlineStr">
        <is>
          <t>Lo que cobra la AFP por administrar ese dinero.</t>
        </is>
      </c>
      <c r="C13" s="32" t="inlineStr">
        <is>
          <t>3,253 × 1.60% = 52.048 → 52.05</t>
        </is>
      </c>
      <c r="D13" s="33">
        <f>Casos!Q7</f>
        <v/>
      </c>
    </row>
    <row r="14">
      <c r="A14" s="31" t="inlineStr">
        <is>
          <t>AFP seguro</t>
        </is>
      </c>
      <c r="B14" s="32" t="inlineStr">
        <is>
          <t>Prima del seguro de invalidez, sobrevivencia y gastos de sepelio.</t>
        </is>
      </c>
      <c r="C14" s="32" t="inlineStr">
        <is>
          <t>3,253 × 1.35% = 43.9155 → 43.92</t>
        </is>
      </c>
      <c r="D14" s="33">
        <f>Casos!R7</f>
        <v/>
      </c>
    </row>
    <row r="15">
      <c r="A15" s="31" t="inlineStr">
        <is>
          <t>Adelantos</t>
        </is>
      </c>
      <c r="B15" s="32" t="inlineStr">
        <is>
          <t>Dinero que la empresa ya le pagó antes en el mes; se resta tal cual.</t>
        </is>
      </c>
      <c r="C15" s="32" t="inlineStr">
        <is>
          <t>200.00</t>
        </is>
      </c>
      <c r="D15" s="33">
        <f>Casos!S7</f>
        <v/>
      </c>
    </row>
    <row r="16">
      <c r="A16" s="31" t="inlineStr">
        <is>
          <t>Total descuentos</t>
        </is>
      </c>
      <c r="B16" s="32" t="inlineStr">
        <is>
          <t>Pensión (ONP o AFP) más adelantos.</t>
        </is>
      </c>
      <c r="C16" s="32" t="inlineStr">
        <is>
          <t>325.30 + 52.05 + 43.92 + 200</t>
        </is>
      </c>
      <c r="D16" s="33">
        <f>Casos!T7</f>
        <v/>
      </c>
    </row>
    <row r="17">
      <c r="A17" s="31" t="inlineStr">
        <is>
          <t>Neto a pagar</t>
        </is>
      </c>
      <c r="B17" s="32" t="inlineStr">
        <is>
          <t>Lo que de verdad recibe el trabajador: total de remuneraciones menos total de descuentos.</t>
        </is>
      </c>
      <c r="C17" s="32" t="inlineStr">
        <is>
          <t>3,253.00 − 621.27</t>
        </is>
      </c>
      <c r="D17" s="33">
        <f>Casos!U7</f>
        <v/>
      </c>
    </row>
    <row r="18">
      <c r="A18" s="31" t="inlineStr">
        <is>
          <t>EsSalud</t>
        </is>
      </c>
      <c r="B18" s="32" t="inlineStr">
        <is>
          <t>Seguro de salud que paga la empresa: 9% del total de remuneraciones. NO se le descuenta al trabajador.</t>
        </is>
      </c>
      <c r="C18" s="32" t="inlineStr">
        <is>
          <t>3,253 × 9%</t>
        </is>
      </c>
      <c r="D18" s="33">
        <f>Casos!V7</f>
        <v/>
      </c>
    </row>
    <row r="19">
      <c r="A19" s="31" t="inlineStr">
        <is>
          <t>Redondeo</t>
        </is>
      </c>
      <c r="B19" s="32" t="inlineStr">
        <is>
          <t>Cada concepto se redondea a 2 decimales (REDONDEAR) y recién después se suman. Por eso 52.048 queda en 52.05.</t>
        </is>
      </c>
      <c r="C19" s="32" t="inlineStr">
        <is>
          <t>REDONDEAR(52.048; 2)</t>
        </is>
      </c>
      <c r="D19" s="33">
        <f>ROUND(52.048,2)</f>
        <v/>
      </c>
    </row>
    <row r="22">
      <c r="A22" s="34" t="inlineStr">
        <is>
          <t>Preguntas de análisis</t>
        </is>
      </c>
    </row>
    <row r="23">
      <c r="A23" s="3" t="inlineStr">
        <is>
          <t>Pregunta</t>
        </is>
      </c>
      <c r="B23" s="3" t="inlineStr">
        <is>
          <t>Respuesta</t>
        </is>
      </c>
      <c r="C23" s="3" t="inlineStr">
        <is>
          <t>Cálculo</t>
        </is>
      </c>
      <c r="D23" s="3" t="inlineStr">
        <is>
          <t>Valor</t>
        </is>
      </c>
    </row>
    <row r="24">
      <c r="A24" s="31" t="inlineStr">
        <is>
          <t>1. ONP o AFP (caso 3)</t>
        </is>
      </c>
      <c r="B24" s="32" t="inlineStr">
        <is>
          <t>Con AFP Ejemplo el neto es S/ 2,631.73 y con ONP S/ 2,630.11: este mes la AFP deja S/ 1.62 más. No basta comparar porcentajes porque no son lo mismo: el 10% del fondo AFP se ahorra en una cuenta personal que gana rentabilidad, mientras que la ONP es un fondo común que paga una pensión fija si se cumplen 20 años de aportes. Además la comisión y el seguro cambian según la AFP. Hay que pensar en la pensión futura, no solo en el neto de este mes.</t>
        </is>
      </c>
      <c r="C24" s="32" t="inlineStr">
        <is>
          <t>Neto AFP − Neto ONP</t>
        </is>
      </c>
      <c r="D24" s="33">
        <f>Casos!U7-Casos!U10</f>
        <v/>
      </c>
    </row>
    <row r="25">
      <c r="A25" s="31" t="inlineStr">
        <is>
          <t>2. Costo real para la empresa (caso 3)</t>
        </is>
      </c>
      <c r="B25" s="32" t="inlineStr">
        <is>
          <t>El trabajador le cuesta a la empresa S/ 3,545.77 (3,253.00 de remuneraciones + 292.77 de EsSalud). De ese costo, el 74.22% llega al trabajador como neto (S/ 2,631.73).</t>
        </is>
      </c>
      <c r="C25" s="32" t="inlineStr">
        <is>
          <t>Neto ÷ (Total rem. + EsSalud)</t>
        </is>
      </c>
      <c r="D25" s="35">
        <f>Casos!U7/(Casos!N7+Casos!V7)</f>
        <v/>
      </c>
    </row>
    <row r="26">
      <c r="A26" s="31" t="inlineStr">
        <is>
          <t>3. Días laborados (caso 2)</t>
        </is>
      </c>
      <c r="B26" s="32" t="inlineStr">
        <is>
          <t>Con 30 días el neto sería S/ 1,673.01 en vez de S/ 1,516.41: S/ 156.60 más. El bruto sube S/ 180.00 (1,923 − 1,743). La diferencia en el neto es menor porque de esos S/ 180 también se descuenta el 13% de ONP (180 × 0.87 = 156.60). La asignación familiar no cambia porque no se prorratea por días.</t>
        </is>
      </c>
      <c r="C26" s="32" t="inlineStr">
        <is>
          <t>Neto 30 días − Neto 27 días</t>
        </is>
      </c>
      <c r="D26" s="33">
        <f>Casos!U11-Casos!U6</f>
        <v/>
      </c>
    </row>
    <row r="27">
      <c r="A27" s="31" t="inlineStr">
        <is>
          <t>4. Horas extras (caso 3)</t>
        </is>
      </c>
      <c r="B27" s="32" t="inlineStr">
        <is>
          <t>Las horas extras suman S/ 130.00 (62.50 + 67.50), que es el 4.00% del total de remuneraciones (3,253.00).</t>
        </is>
      </c>
      <c r="C27" s="32" t="inlineStr">
        <is>
          <t>(HE25 + HE35) ÷ Total rem.</t>
        </is>
      </c>
      <c r="D27" s="35">
        <f>(Casos!L7+Casos!M7)/Casos!N7</f>
        <v/>
      </c>
    </row>
    <row r="28">
      <c r="A28" s="31" t="inlineStr">
        <is>
          <t>5. Con datos reales</t>
        </is>
      </c>
      <c r="B28" s="32" t="inlineStr">
        <is>
          <t>Oferta real de Computrabajo (Asistente de TI, S/ 1,700.00, consultada el 28/10/2026). Con AFP Habitat (tasas SBS octubre 2026), sin hijos y mes completo: descuentos S/ 218.28 y neto S/ 1,481.72, es decir llega el 87.16% del sueldo bruto. Con ONP el neto sería S/ 1,479.00 (87.00%). Comparar con dos compañeros: completar abajo.</t>
        </is>
      </c>
      <c r="C28" s="32" t="inlineStr">
        <is>
          <t>Neto ÷ Total rem.</t>
        </is>
      </c>
      <c r="D28" s="35">
        <f>Casos!U9/Casos!N9</f>
        <v/>
      </c>
    </row>
    <row r="30">
      <c r="A30" s="16" t="inlineStr">
        <is>
          <t>Comparación con compañeros (pregunta 5)</t>
        </is>
      </c>
    </row>
    <row r="31">
      <c r="A31" s="3" t="inlineStr">
        <is>
          <t>Alumno</t>
        </is>
      </c>
      <c r="B31" s="3" t="inlineStr">
        <is>
          <t>Sueldo bruto (S/)</t>
        </is>
      </c>
      <c r="C31" s="3" t="inlineStr">
        <is>
          <t>Neto (S/)</t>
        </is>
      </c>
      <c r="D31" s="3" t="inlineStr">
        <is>
          <t>% que llega</t>
        </is>
      </c>
    </row>
    <row r="32">
      <c r="A32" s="4" t="inlineStr">
        <is>
          <t>Harold Salvador Zarate</t>
        </is>
      </c>
      <c r="B32" s="36">
        <f>Casos!N9</f>
        <v/>
      </c>
      <c r="C32" s="36">
        <f>Casos!U9</f>
        <v/>
      </c>
      <c r="D32" s="27">
        <f>IF(B32="","",C32/B32)</f>
        <v/>
      </c>
    </row>
    <row r="33">
      <c r="A33" s="4" t="inlineStr">
        <is>
          <t>Compañero 1</t>
        </is>
      </c>
      <c r="B33" s="11" t="n"/>
      <c r="C33" s="11" t="n"/>
      <c r="D33" s="27">
        <f>IF(B33="","",C33/B33)</f>
        <v/>
      </c>
    </row>
    <row r="34">
      <c r="A34" s="4" t="inlineStr">
        <is>
          <t>Compañero 2</t>
        </is>
      </c>
      <c r="B34" s="11" t="n"/>
      <c r="C34" s="11" t="n"/>
      <c r="D34" s="27">
        <f>IF(B34="","",C34/B34)</f>
        <v/>
      </c>
    </row>
    <row r="37">
      <c r="A37" s="34" t="inlineStr">
        <is>
          <t>Tabla de fuentes</t>
        </is>
      </c>
    </row>
    <row r="38">
      <c r="A38" s="3" t="inlineStr">
        <is>
          <t>Dato</t>
        </is>
      </c>
      <c r="B38" s="3" t="inlineStr">
        <is>
          <t>Valor</t>
        </is>
      </c>
      <c r="C38" s="3" t="inlineStr">
        <is>
          <t>Fuente</t>
        </is>
      </c>
      <c r="D38" s="3" t="inlineStr">
        <is>
          <t>Fecha de consulta</t>
        </is>
      </c>
    </row>
    <row r="39">
      <c r="A39" s="32" t="inlineStr">
        <is>
          <t>RMV</t>
        </is>
      </c>
      <c r="B39" s="32" t="inlineStr">
        <is>
          <t>S/ 1,230.00</t>
        </is>
      </c>
      <c r="C39" s="32" t="inlineStr">
        <is>
          <t>D.S. de la RMV, vigente desde el 1 de octubre de 2026 (enunciado del laboratorio)</t>
        </is>
      </c>
      <c r="D39" s="32" t="inlineStr">
        <is>
          <t>28/10/2026</t>
        </is>
      </c>
    </row>
    <row r="40">
      <c r="A40" s="32" t="inlineStr">
        <is>
          <t>Asignación familiar</t>
        </is>
      </c>
      <c r="B40" s="32" t="inlineStr">
        <is>
          <t>10% de la RMV = S/ 123.00</t>
        </is>
      </c>
      <c r="C40" s="32" t="inlineStr">
        <is>
          <t>Ley 25129</t>
        </is>
      </c>
      <c r="D40" s="32" t="inlineStr">
        <is>
          <t>28/10/2026</t>
        </is>
      </c>
    </row>
    <row r="41">
      <c r="A41" s="32" t="inlineStr">
        <is>
          <t>ONP</t>
        </is>
      </c>
      <c r="B41" s="32" t="inlineStr">
        <is>
          <t>13%</t>
        </is>
      </c>
      <c r="C41" s="32" t="inlineStr">
        <is>
          <t>D.L. 19990</t>
        </is>
      </c>
      <c r="D41" s="32" t="inlineStr">
        <is>
          <t>28/10/2026</t>
        </is>
      </c>
    </row>
    <row r="42">
      <c r="A42" s="32" t="inlineStr">
        <is>
          <t>EsSalud</t>
        </is>
      </c>
      <c r="B42" s="32" t="inlineStr">
        <is>
          <t>9%</t>
        </is>
      </c>
      <c r="C42" s="32" t="inlineStr">
        <is>
          <t>Ley 26790</t>
        </is>
      </c>
      <c r="D42" s="32" t="inlineStr">
        <is>
          <t>28/10/2026</t>
        </is>
      </c>
    </row>
    <row r="43">
      <c r="A43" s="32" t="inlineStr">
        <is>
          <t>Horas extras</t>
        </is>
      </c>
      <c r="B43" s="32" t="inlineStr">
        <is>
          <t>25% y 35% de recargo</t>
        </is>
      </c>
      <c r="C43" s="32" t="inlineStr">
        <is>
          <t>D.S. 007-2002-TR (jornada de trabajo, horario y sobretiempo)</t>
        </is>
      </c>
      <c r="D43" s="32" t="inlineStr">
        <is>
          <t>28/10/2026</t>
        </is>
      </c>
    </row>
    <row r="44">
      <c r="A44" s="32" t="inlineStr">
        <is>
          <t>AFP Ejemplo</t>
        </is>
      </c>
      <c r="B44" s="32" t="inlineStr">
        <is>
          <t>Fondo 10% · comisión 1.60% · seguro 1.35%</t>
        </is>
      </c>
      <c r="C44" s="32" t="inlineStr">
        <is>
          <t>Enunciado del laboratorio (valores de prueba)</t>
        </is>
      </c>
      <c r="D44" s="32" t="inlineStr">
        <is>
          <t>28/10/2026</t>
        </is>
      </c>
    </row>
    <row r="45">
      <c r="A45" s="32" t="inlineStr">
        <is>
          <t>Tasas AFP reales</t>
        </is>
      </c>
      <c r="B45" s="32" t="inlineStr">
        <is>
          <t>Fondo 10% · comisión Habitat 1.47%, Integra 1.55%, Prima 1.60%, Profuturo 1.69% · seguro 1.37%</t>
        </is>
      </c>
      <c r="C45" s="32" t="inlineStr">
        <is>
          <t>SBS, comisiones y primas de seguro, mes de devengue 2026-10: https://www.sbs.gob.pe/app/spp/empleadores/comisiones_spp/Paginas/comision_prima.aspx</t>
        </is>
      </c>
      <c r="D45" s="32" t="inlineStr">
        <is>
          <t>28/10/2026</t>
        </is>
      </c>
    </row>
    <row r="46">
      <c r="A46" s="32" t="inlineStr">
        <is>
          <t>Sueldo real (caso propio)</t>
        </is>
      </c>
      <c r="B46" s="32" t="inlineStr">
        <is>
          <t>S/ 1,700.00 mensuales</t>
        </is>
      </c>
      <c r="C46" s="32" t="inlineStr">
        <is>
          <t>Computrabajo Perú, oferta 'Asistente de TI - Desarrollo y Soporte de Sistemas': https://pe.computrabajo.com/ofertas-de-trabajo/oferta-de-trabajo-de-asistente-de-ti-desarrollo-y-soporte-de-sistemas-puente-piedra-en-puente-piedra-70B2AA847863D68061373E686DCF3405</t>
        </is>
      </c>
      <c r="D46" s="32" t="inlineStr">
        <is>
          <t>28/10/2026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2026-10-29T15:20:23Z</dcterms:created>
  <dcterms:modified xsi:type="dcterms:W3CDTF">2026-10-29T15:20:23Z</dcterms:modified>
</cp:coreProperties>
</file>